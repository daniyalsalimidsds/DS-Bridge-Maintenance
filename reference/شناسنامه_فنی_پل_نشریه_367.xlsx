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بازرسی پل\"/>
    </mc:Choice>
  </mc:AlternateContent>
  <xr:revisionPtr revIDLastSave="0" documentId="13_ncr:1_{B7C98D82-1242-420C-8C82-FCE49D3F9116}" xr6:coauthVersionLast="47" xr6:coauthVersionMax="47" xr10:uidLastSave="{00000000-0000-0000-0000-000000000000}"/>
  <bookViews>
    <workbookView xWindow="-108" yWindow="-108" windowWidth="23256" windowHeight="12576" xr2:uid="{92E24603-1B9F-4D8B-9D8B-D61EE3CB07CB}"/>
  </bookViews>
  <sheets>
    <sheet name="01_خلاصه_پروفایل_منویی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7" i="2" l="1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H4" i="2"/>
  <c r="E4" i="2"/>
  <c r="B4" i="2"/>
</calcChain>
</file>

<file path=xl/sharedStrings.xml><?xml version="1.0" encoding="utf-8"?>
<sst xmlns="http://schemas.openxmlformats.org/spreadsheetml/2006/main" count="438" uniqueCount="344">
  <si>
    <t>خلاصه پروفایل فنی پل — فرم مستقل و منویی</t>
  </si>
  <si>
    <t>وجود جزء</t>
  </si>
  <si>
    <t>کاربری</t>
  </si>
  <si>
    <t>سیستم سازه</t>
  </si>
  <si>
    <t>مصالح ابرسازه</t>
  </si>
  <si>
    <t>نوع عرشه</t>
  </si>
  <si>
    <t>کف عرشه</t>
  </si>
  <si>
    <t>مصالح پایه</t>
  </si>
  <si>
    <t>شکل پایه</t>
  </si>
  <si>
    <t>مصالح کوله</t>
  </si>
  <si>
    <t>سیستم کوله</t>
  </si>
  <si>
    <t>نوع پی</t>
  </si>
  <si>
    <t>مصالح پی</t>
  </si>
  <si>
    <t>نوع تکیه‌گاه</t>
  </si>
  <si>
    <t>زیرنوع تکیه‌گاه</t>
  </si>
  <si>
    <t>نوع درز</t>
  </si>
  <si>
    <t>نوع روسازی</t>
  </si>
  <si>
    <t>نوع عایق</t>
  </si>
  <si>
    <t>مصالح نرده</t>
  </si>
  <si>
    <t>سیستم پیاده‌رو</t>
  </si>
  <si>
    <t>جزیره میانی</t>
  </si>
  <si>
    <t>دال دسترسی</t>
  </si>
  <si>
    <t>تأسیسات</t>
  </si>
  <si>
    <t>دیافراگم</t>
  </si>
  <si>
    <t>کابل اصلی</t>
  </si>
  <si>
    <t>آبراهه</t>
  </si>
  <si>
    <t>جداساز</t>
  </si>
  <si>
    <t>سابقه مداخله</t>
  </si>
  <si>
    <t>وضعیت زهکشی</t>
  </si>
  <si>
    <t>این شیت کاملاً مستقل است. سلول‌های آبی را مستقیماً وارد یا از منوی کشویی انتخاب کنید؛ فرمول‌ها و فهرست‌های موردنیاز داخل همین شیت نگهداری می‌شوند.</t>
  </si>
  <si>
    <t>وجود دارد</t>
  </si>
  <si>
    <t>راه</t>
  </si>
  <si>
    <t>دهانه‌های ساده (دو سر مفصل)</t>
  </si>
  <si>
    <t>بتن درجا - بتن مسلح</t>
  </si>
  <si>
    <t>تیرورق‌های نزدیک + عرشه ارتوتروپیک فولادی</t>
  </si>
  <si>
    <t>بتن مسلح درجا</t>
  </si>
  <si>
    <t>بتن مسلح</t>
  </si>
  <si>
    <t>طره منفرد</t>
  </si>
  <si>
    <t>کوله بسته - دیوار حائل وزنی</t>
  </si>
  <si>
    <t>سطحی - منفرد (تک‌پی)</t>
  </si>
  <si>
    <t>پی سطحی - بتن مسلح</t>
  </si>
  <si>
    <t>غلطکی فولادی</t>
  </si>
  <si>
    <t>فولاد گالوانیزه</t>
  </si>
  <si>
    <t>درز ساده باز</t>
  </si>
  <si>
    <t>آسفالت</t>
  </si>
  <si>
    <t>قیرگونی</t>
  </si>
  <si>
    <t>فولادی</t>
  </si>
  <si>
    <t>همانند کف عرشه</t>
  </si>
  <si>
    <t>همانند مصالح کف عرشه/جان‌پناه/جداول/نرده</t>
  </si>
  <si>
    <t>دال بتن‌آرمه درجا</t>
  </si>
  <si>
    <t>آب</t>
  </si>
  <si>
    <t>دیافراگم قائم انتهایی/روی تکیه‌گاه</t>
  </si>
  <si>
    <t>کابلی - یک ردیف کابل در محور میانی</t>
  </si>
  <si>
    <t>دشت سیلابی</t>
  </si>
  <si>
    <t>میراگر مواد ویسکوالاستیک</t>
  </si>
  <si>
    <t>بلی</t>
  </si>
  <si>
    <t>مناسب</t>
  </si>
  <si>
    <t>وجود ندارد</t>
  </si>
  <si>
    <t>راه‌آهن</t>
  </si>
  <si>
    <t>دهانه‌های پیوسته (یکسره)</t>
  </si>
  <si>
    <t>بتن درجا - بتن پیش‌تنیده</t>
  </si>
  <si>
    <t>تیرورق‌های نزدیک + عملکرد مختلط با بتن فوقانی درجا</t>
  </si>
  <si>
    <t>بتن پیش‌تنیده</t>
  </si>
  <si>
    <t>قاب</t>
  </si>
  <si>
    <t>بتن ساده</t>
  </si>
  <si>
    <t>کوله بسته - دیوار حائل بتن‌آرمه بدون پشت‌بند</t>
  </si>
  <si>
    <t>سطحی - نواری (مرکب)</t>
  </si>
  <si>
    <t>پی سطحی - بتن ساده</t>
  </si>
  <si>
    <t>الاستومر</t>
  </si>
  <si>
    <t>فولاد ضدزنگ</t>
  </si>
  <si>
    <t>درز ساده آب‌بندی‌شده</t>
  </si>
  <si>
    <t>لایه‌های ایزولاسیون پیش‌ساخته</t>
  </si>
  <si>
    <t>قطعات پیش‌ساخته بتنی</t>
  </si>
  <si>
    <t>دال بتن‌آرمه پیش‌ساخته</t>
  </si>
  <si>
    <t>فاضلاب</t>
  </si>
  <si>
    <t>دیافراگم میانی</t>
  </si>
  <si>
    <t>کابلی - دو ردیف کابل در طرفین</t>
  </si>
  <si>
    <t>دره‌رود دارای دشت سیلابی کوچک</t>
  </si>
  <si>
    <t>میراگر اصطکاکی</t>
  </si>
  <si>
    <t>خیر</t>
  </si>
  <si>
    <t>نامناسب</t>
  </si>
  <si>
    <t>نام پل</t>
  </si>
  <si>
    <t>کد پل</t>
  </si>
  <si>
    <t>نامشخص/نیازمند بررسی</t>
  </si>
  <si>
    <t>شهری</t>
  </si>
  <si>
    <t>دهانه‌های با عملکرد طره‌ای</t>
  </si>
  <si>
    <t>بتن پیش‌ساخته - بتن مسلح</t>
  </si>
  <si>
    <t>تیرورق‌های نزدیک + عرشه مجوف پیش‌ساخته بتن‌آرمه</t>
  </si>
  <si>
    <t>پانل‌های پیش‌ساخته بتنی</t>
  </si>
  <si>
    <t>مختلط از فولاد و بتن</t>
  </si>
  <si>
    <t>منشوری دایروی</t>
  </si>
  <si>
    <t>مصالح بنایی</t>
  </si>
  <si>
    <t>کوله بسته - دیوار حائل بتن‌آرمه با پشت‌بند</t>
  </si>
  <si>
    <t>سطحی - گسترده (رادیه)</t>
  </si>
  <si>
    <t>پی سطحی - مصالح بنایی</t>
  </si>
  <si>
    <t>الاستومر توأم با تفلون</t>
  </si>
  <si>
    <t>فولاد با رویه ضدزنگ</t>
  </si>
  <si>
    <t>درز شانه‌ای/انگشتانه‌ای</t>
  </si>
  <si>
    <t>بتن مسلح با مواد هوازا</t>
  </si>
  <si>
    <t>امولسیون قیری</t>
  </si>
  <si>
    <t>سایر مصالح و ترکیبات مصالح</t>
  </si>
  <si>
    <t>جعبه‌ای بتن‌آرمه درجا</t>
  </si>
  <si>
    <t>گاز</t>
  </si>
  <si>
    <t>پیوستگی عرضی فقط با بتن فوقانی درجا</t>
  </si>
  <si>
    <t>معلق</t>
  </si>
  <si>
    <t>دره‌رود فاقد دشت سیلابی</t>
  </si>
  <si>
    <t>میراگر فلزی</t>
  </si>
  <si>
    <t>نامشخص</t>
  </si>
  <si>
    <t>راهنما</t>
  </si>
  <si>
    <t>آبی: ورود یا انتخاب</t>
  </si>
  <si>
    <t>خاکستری: محاسبه خودکار</t>
  </si>
  <si>
    <t>سبز: تکمیل شده</t>
  </si>
  <si>
    <t>موارد ویژه</t>
  </si>
  <si>
    <t>قوسی کلافدار</t>
  </si>
  <si>
    <t>بتن پیش‌ساخته - بتن پیش‌تنیده</t>
  </si>
  <si>
    <t>شاه‌تیرهای طرفین و تیرهای عرضی + عرشه ارتوتروپیک</t>
  </si>
  <si>
    <t>پانل‌های پیش‌ساخته پس‌کشیده بتنی</t>
  </si>
  <si>
    <t>بتن مسلح با رویه کامپوزیت</t>
  </si>
  <si>
    <t>منشوری بیضوی</t>
  </si>
  <si>
    <t>خاک مسلح با نمای پیش‌ساخته و زیرسری بتن مسلح</t>
  </si>
  <si>
    <t>کوله بسته - شمع درجا قبل از خاکبرداری یک سمت</t>
  </si>
  <si>
    <t>سطحی - سایر پی‌های کم‌عمق</t>
  </si>
  <si>
    <t>شمع - بتن مسلح درجا</t>
  </si>
  <si>
    <t>مقید</t>
  </si>
  <si>
    <t>فولاد با رویه رنگ حفاظتی</t>
  </si>
  <si>
    <t>درز لغزشی با ورق</t>
  </si>
  <si>
    <t>بتن مسلح با مواد معین سطحی</t>
  </si>
  <si>
    <t>مواد دیگر</t>
  </si>
  <si>
    <t>فاقد پیاده‌رو</t>
  </si>
  <si>
    <t>جعبه‌ای بتن‌آرمه پیش‌ساخته</t>
  </si>
  <si>
    <t>نفت و فرآورده‌های نفتی</t>
  </si>
  <si>
    <t>پیوستگی عرضی با دیافراگم‌های عرضی</t>
  </si>
  <si>
    <t>فاقد کابل اصلی</t>
  </si>
  <si>
    <t>مسیر مستقیم</t>
  </si>
  <si>
    <t>تمهیدات ضربه‌گیر</t>
  </si>
  <si>
    <t>قوسی بدون کلاف</t>
  </si>
  <si>
    <t>مختلط از بتن پیش‌ساخته و درجا</t>
  </si>
  <si>
    <t>شاه‌تیرهای طرفین و تیرهای عرضی + عرشه مختلط با بتن فوقانی درجا</t>
  </si>
  <si>
    <t>فولادی (ارتوتروپیک)</t>
  </si>
  <si>
    <t>منشوری چهارضلعی</t>
  </si>
  <si>
    <t>کوله بسته - شمع متشکل از ورق‌های تقویت‌شده کوبه‌ای</t>
  </si>
  <si>
    <t>عمیق - شمع‌های منفرد</t>
  </si>
  <si>
    <t>شمع - بتن مسلح پیش‌ساخته</t>
  </si>
  <si>
    <t>یکپارچه/بدون دستگاه تکیه‌گاهی</t>
  </si>
  <si>
    <t>فولاد با رویه ضدزنگ توأم با لایه تفلون</t>
  </si>
  <si>
    <t>درز با ورق متحرک</t>
  </si>
  <si>
    <t>فاقد/نامشخص</t>
  </si>
  <si>
    <t>چوبی</t>
  </si>
  <si>
    <t>بتن پیش‌ساخته</t>
  </si>
  <si>
    <t>سایر</t>
  </si>
  <si>
    <t>کابل برق</t>
  </si>
  <si>
    <t>پیوستگی عرضی با میلگرد گذرنده</t>
  </si>
  <si>
    <t>مسیر دارای پیچ‌وخم</t>
  </si>
  <si>
    <t>سایر میراگرها</t>
  </si>
  <si>
    <t>جزء/زیرسامانه</t>
  </si>
  <si>
    <t>کد بخش</t>
  </si>
  <si>
    <t>فیلد ۱</t>
  </si>
  <si>
    <t>مقدار ۱</t>
  </si>
  <si>
    <t>فیلد ۲</t>
  </si>
  <si>
    <t>مقدار ۲</t>
  </si>
  <si>
    <t>فیلد ۳</t>
  </si>
  <si>
    <t>مقدار ۳</t>
  </si>
  <si>
    <t>کلید فنی</t>
  </si>
  <si>
    <t>وضعیت تکمیل</t>
  </si>
  <si>
    <t>قاب خمشی در جهت طولی</t>
  </si>
  <si>
    <t>شاه‌تیرهای طرفین و تیرهای عرضی + عرشه پیش‌ساخته مجوف بتن‌آرمه</t>
  </si>
  <si>
    <t>منشوری توخالی - راستگوشه</t>
  </si>
  <si>
    <t>کوله بسته - خاک مسلح با قطعات نمای پیش‌ساخته</t>
  </si>
  <si>
    <t>عمیق - گروه شمع‌ها</t>
  </si>
  <si>
    <t>شمع - بتن پیش‌ساخته پیش‌تنیده</t>
  </si>
  <si>
    <t>چدنی</t>
  </si>
  <si>
    <t>درز لغزشی + شانه‌ای/انگشتانه‌ای</t>
  </si>
  <si>
    <t>راه‌آهن - ریل روی تراورس و بالاست متکی بر عرشه</t>
  </si>
  <si>
    <t>تلفن</t>
  </si>
  <si>
    <t>پیوستگی عرضی با پیش‌تنیدگی عرضی</t>
  </si>
  <si>
    <t>مسیر با انشعاب</t>
  </si>
  <si>
    <t>سیستم لرزه‌جدایش - دستگاه الاستومر</t>
  </si>
  <si>
    <t>اطلاعات عمومی و هویت پل</t>
  </si>
  <si>
    <t>02_اطلاعات_عمومی</t>
  </si>
  <si>
    <t>کاربری اصلی</t>
  </si>
  <si>
    <t>قاب خمشی در جهت عرضی</t>
  </si>
  <si>
    <t>جعبه فولادی تک/چندسلولی + عرشه ارتوتروپیک</t>
  </si>
  <si>
    <t>مصالح بنایی توأم با بتن ساده</t>
  </si>
  <si>
    <t>منشوری توخالی - لوله‌ای دایروی</t>
  </si>
  <si>
    <t>کوله باز</t>
  </si>
  <si>
    <t>عمیق - پایه‌های مدفون</t>
  </si>
  <si>
    <t>شمع - فولادی</t>
  </si>
  <si>
    <t>لاستیک طبیعی</t>
  </si>
  <si>
    <t>درز با ورق متحرک + شانه‌ای/انگشتانه‌ای</t>
  </si>
  <si>
    <t>راه‌آهن - ریل مستقیم بر عناصر کف عرشه</t>
  </si>
  <si>
    <t>فاقد تمهیدات خاص</t>
  </si>
  <si>
    <t>تقاطع معمولی</t>
  </si>
  <si>
    <t>سیستم لرزه‌جدایش - ضربه‌گیر</t>
  </si>
  <si>
    <t>هندسه، دهانه‌ها و ابعاد عمومی</t>
  </si>
  <si>
    <t>03_هندسه_دهانه</t>
  </si>
  <si>
    <t>تعداد دهانه‌ها</t>
  </si>
  <si>
    <t>طول کل پل (متر)</t>
  </si>
  <si>
    <t>شرح هندسه اصلی</t>
  </si>
  <si>
    <t>ترکه‌ای (کابلی) - چنگواره‌ای</t>
  </si>
  <si>
    <t>جعبه فولادی تک/چندسلولی + عرشه مختلط با بتن فوقانی درجا</t>
  </si>
  <si>
    <t>دیواره عریض</t>
  </si>
  <si>
    <t>عمیق - پی چاهی</t>
  </si>
  <si>
    <t>شمع - لوله فولادی پرشده با بتن</t>
  </si>
  <si>
    <t>لاستیک مصنوعی (نئوپرن/کلرو/بوتیل)</t>
  </si>
  <si>
    <t>درز دو فاصله‌ای با ورق متحرک</t>
  </si>
  <si>
    <t>فاقد جزیره میانی</t>
  </si>
  <si>
    <t>فاقد تأسیسات عبوری</t>
  </si>
  <si>
    <t>تقاطع برون‌محور</t>
  </si>
  <si>
    <t>سایر سیستم‌های لرزه‌جدایش</t>
  </si>
  <si>
    <t>سیستم کلی سازه‌ای پل</t>
  </si>
  <si>
    <t>04_سیستم_سازه</t>
  </si>
  <si>
    <t>وجود جزء؟</t>
  </si>
  <si>
    <t>سیستم سازه‌ای اصلی</t>
  </si>
  <si>
    <t>توضیح ترکیب/تفاوت دهانه‌ها</t>
  </si>
  <si>
    <t>ترکه‌ای (کابلی) - بادبزنی</t>
  </si>
  <si>
    <t>جعبه فولادی تک/چندسلولی + عرشه پیش‌ساخته مجوف بتن‌آرمه</t>
  </si>
  <si>
    <t>مقطع متغیر</t>
  </si>
  <si>
    <t>عمیق - صندوقه‌ای (کیسون)</t>
  </si>
  <si>
    <t>شمع - چوبی</t>
  </si>
  <si>
    <t>الاستومر مسلح با ورق فولادی</t>
  </si>
  <si>
    <t>درز چندفاصله‌ای</t>
  </si>
  <si>
    <t>تقاطع مورب</t>
  </si>
  <si>
    <t>فاقد تمهیدات مستهلک‌کننده انرژی</t>
  </si>
  <si>
    <t>عرشه و اَبَرسازه</t>
  </si>
  <si>
    <t>05_عرشه_ابرسازه</t>
  </si>
  <si>
    <t>نوع سیستم عرشه</t>
  </si>
  <si>
    <t>مصالح اَبَرسازه</t>
  </si>
  <si>
    <t>خرپا + تیرهای عرضی + عرشه ارتوتروپیک</t>
  </si>
  <si>
    <t>مصالح بنایی توأم با خاک کوبیده</t>
  </si>
  <si>
    <t>پایه تقویت‌شده با FRP/پوشش فولادی</t>
  </si>
  <si>
    <t>عمیق - سایر پی‌های عمیق</t>
  </si>
  <si>
    <t>پایه مدفون - بتن مسلح</t>
  </si>
  <si>
    <t>الاستومر مسلح با الیاف</t>
  </si>
  <si>
    <t>درز با ورق‌های مفصلی پوششی</t>
  </si>
  <si>
    <t>پل خارج از آبراهه</t>
  </si>
  <si>
    <t>کف عرشه و دال</t>
  </si>
  <si>
    <t>06_کف_عرشه_دال</t>
  </si>
  <si>
    <t>مصالح/سیستم کف عرشه</t>
  </si>
  <si>
    <t>نوع بتن/فولاد و جزئیات</t>
  </si>
  <si>
    <t>سایر/ترکیبی</t>
  </si>
  <si>
    <t>مصالح کامپوزیت</t>
  </si>
  <si>
    <t>خرپا + تیرهای عرضی + عرشه مختلط با بتن فوقانی درجا</t>
  </si>
  <si>
    <t>پایه فولادی بال‌پهن</t>
  </si>
  <si>
    <t>پایه مدفون - بتن ساده</t>
  </si>
  <si>
    <t>الاستومر غیرمسلح</t>
  </si>
  <si>
    <t>ورق متحرک مایل</t>
  </si>
  <si>
    <t>پایه‌های میانی و سرستون</t>
  </si>
  <si>
    <t>07_پایه_میانی</t>
  </si>
  <si>
    <t>وجود پایه میانی؟</t>
  </si>
  <si>
    <t>سیستم/شکل اصلی پایه</t>
  </si>
  <si>
    <t>خرپا + تیرهای عرضی + عرشه پیش‌ساخته مجوف بتن‌آرمه</t>
  </si>
  <si>
    <t>پایه فولادی قوطی راستگوشه</t>
  </si>
  <si>
    <t>پایه مدفون - مصالح بنایی</t>
  </si>
  <si>
    <t>سیستم درز با مواد کامپوزیت - تسمه لایه‌لایه باز</t>
  </si>
  <si>
    <t>کوله‌ها و پایه‌های کناری</t>
  </si>
  <si>
    <t>08_کوله</t>
  </si>
  <si>
    <t>تیر پیش‌ساخته بتن متعارف + بتن فوقانی درجا، مقطع T/L</t>
  </si>
  <si>
    <t>پایه فولادی لوله‌ای دایروی</t>
  </si>
  <si>
    <t>کیسون - جدار فولادی با بتن پرکننده</t>
  </si>
  <si>
    <t>سیستم درز با مواد کامپوزیت - تسمه لایه‌لایه + لاستیک/نئوپرن</t>
  </si>
  <si>
    <t>پی، شالوده و شمع‌ها</t>
  </si>
  <si>
    <t>09_پی_شمع</t>
  </si>
  <si>
    <t>نوع پی اصلی</t>
  </si>
  <si>
    <t>مصالح پی/شمع</t>
  </si>
  <si>
    <t>تیر پیش‌ساخته پیش‌تنیده + بتن فوقانی درجا، مقطع T/L</t>
  </si>
  <si>
    <t>پایه فولادی مرکب/ساخته‌شده</t>
  </si>
  <si>
    <t>کیسون - بتن مسلح پیش‌ساخته</t>
  </si>
  <si>
    <t>بلوک‌های لاستیکی/نئوپرن</t>
  </si>
  <si>
    <t>دستگاه‌های تکیه‌گاهی و قیود حرکتی</t>
  </si>
  <si>
    <t>10_تکیه_گاه</t>
  </si>
  <si>
    <t>وجود دستگاه تکیه‌گاهی؟</t>
  </si>
  <si>
    <t>نوع تکیه‌گاه اصلی</t>
  </si>
  <si>
    <t>مصالح/زیرنوع تکیه‌گاه</t>
  </si>
  <si>
    <t>تیر پیش‌ساخته بتن متعارف + بتن فوقانی درجا، مقطع مجوف</t>
  </si>
  <si>
    <t>خرپای فضاکار</t>
  </si>
  <si>
    <t>درز متشکل از نئوپرن و لاستیک</t>
  </si>
  <si>
    <t>درزهای انبساط و جدایی</t>
  </si>
  <si>
    <t>11_درز_انبساط</t>
  </si>
  <si>
    <t>وجود درز؟</t>
  </si>
  <si>
    <t>نوع درز اصلی</t>
  </si>
  <si>
    <t>شرح سیستم/درزبندی</t>
  </si>
  <si>
    <t>تیر پیش‌ساخته پیش‌تنیده مختلط + بتن فوقانی درجا، مقطع مجوف</t>
  </si>
  <si>
    <t>پایه دارای سرستون</t>
  </si>
  <si>
    <t>درز انگشتانه‌ای لاستیک/نئوپرن سخت + غشای نرم</t>
  </si>
  <si>
    <t>روسازی و عایق‌بندی کف عرشه</t>
  </si>
  <si>
    <t>12_روسازی_عایق</t>
  </si>
  <si>
    <t>وجود روسازی؟</t>
  </si>
  <si>
    <t>نوع عایق‌بندی</t>
  </si>
  <si>
    <t>دال پیش‌ساخته مجوف با بتن متعارف</t>
  </si>
  <si>
    <t>زهکشی و دفع آب</t>
  </si>
  <si>
    <t>13_زهکشی</t>
  </si>
  <si>
    <t>وجود سیستم زهکشی؟</t>
  </si>
  <si>
    <t>نوع/آرایش واقعی سیستم زهکشی</t>
  </si>
  <si>
    <t>دال پیش‌ساخته مجوف با بتن پیش‌تنیده</t>
  </si>
  <si>
    <t>نرده‌های حفاظ و جان‌پناه</t>
  </si>
  <si>
    <t>14_نرده_جانپناه</t>
  </si>
  <si>
    <t>نوع/سیستم اصلی</t>
  </si>
  <si>
    <t>مصالح</t>
  </si>
  <si>
    <t>دال سلولی با بتن متعارف</t>
  </si>
  <si>
    <t>پیاده‌روها و جزیره میانی</t>
  </si>
  <si>
    <t>15_پیاده_رو_جزیره</t>
  </si>
  <si>
    <t>وجود پیاده‌رو/جزیره؟</t>
  </si>
  <si>
    <t>سیستم جزیره میانی</t>
  </si>
  <si>
    <t>تیر T شکل درجا با بتن متعارف</t>
  </si>
  <si>
    <t>دال دسترسی، شیبراهه و دیوارهای حائل</t>
  </si>
  <si>
    <t>16_دال_دسترسی</t>
  </si>
  <si>
    <t>وجود دال دسترسی؟</t>
  </si>
  <si>
    <t>نوع دال دسترسی</t>
  </si>
  <si>
    <t>شرح شیبراهه/دیوار حائل</t>
  </si>
  <si>
    <t>تیر T شکل درجا با بتن پیش‌تنیده</t>
  </si>
  <si>
    <t>تأسیسات الحاقی و عبوری</t>
  </si>
  <si>
    <t>17_تاسیسات_الحاقی</t>
  </si>
  <si>
    <t>وجود تأسیسات عبوری؟</t>
  </si>
  <si>
    <t>نوع اصلی تأسیسات</t>
  </si>
  <si>
    <t>شرح مسیر/اتصال</t>
  </si>
  <si>
    <t>عرشه مجوف درجا با بتن پیش‌تنیده</t>
  </si>
  <si>
    <t>کابل‌ها، دیافراگم‌ها و پیوستگی عرضی</t>
  </si>
  <si>
    <t>18_کابل_دیافراگم</t>
  </si>
  <si>
    <t>وجود سیستم ویژه؟</t>
  </si>
  <si>
    <t>کابل/سیستم اصلی</t>
  </si>
  <si>
    <t>دیافراگم/پیوستگی</t>
  </si>
  <si>
    <t>تیر جعبه‌ای پیش‌ساخته پیش‌تنیده</t>
  </si>
  <si>
    <t>آبراهه، بستر و محیط هیدرولیکی</t>
  </si>
  <si>
    <t>19_آبراهه_محیط</t>
  </si>
  <si>
    <t>پل در آبراهه/دشت سیلابی؟</t>
  </si>
  <si>
    <t>نوع وضعیت آبراهه</t>
  </si>
  <si>
    <t>مصالح غالب بستر/توضیح</t>
  </si>
  <si>
    <t>تیر جعبه‌ای درجا با بتن متعارف</t>
  </si>
  <si>
    <t>تاریخچه ترمیم، تقویت، ایمن‌سازی و بهسازی</t>
  </si>
  <si>
    <t>20_ترمیم_بهسازی</t>
  </si>
  <si>
    <t>سابقه مداخله؟</t>
  </si>
  <si>
    <t>نوع مداخله اصلی</t>
  </si>
  <si>
    <t>عضو/ناحیه مداخله</t>
  </si>
  <si>
    <t>پل کابلی - خرپای فولادی با کف ارتوتروپیک/کامپوزیت</t>
  </si>
  <si>
    <t>میراگرها، ضربه‌گیرها و جداسازی لرزه‌ای</t>
  </si>
  <si>
    <t>21_میرایی_جداساز</t>
  </si>
  <si>
    <t>وجود تمهیدات ویژه؟</t>
  </si>
  <si>
    <t>نوع سیستم</t>
  </si>
  <si>
    <t>شرح/مشخصات</t>
  </si>
  <si>
    <t>پل کابلی - جعبه فولادی با کف ارتوتروپیک/کامپوزیت</t>
  </si>
  <si>
    <t>پل کابلی - جعبه‌ای پیش‌ساخته پیش‌تنیده</t>
  </si>
  <si>
    <t>پل کابلی - جعبه‌ای درجای پیش‌تنیده</t>
  </si>
  <si>
    <t>پل کابلی - جعبه‌ای بتن سبک پیش‌ساخته و پیش‌تنیده</t>
  </si>
  <si>
    <t>مترو آزاداگان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</si>
</sst>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name val="Carlito"/>
    </font>
    <font>
      <b/>
      <sz val="16"/>
      <color rgb="FFFFFFFF"/>
      <name val="Tahoma"/>
    </font>
    <font>
      <i/>
      <sz val="10"/>
      <color rgb="FF1F1F1F"/>
      <name val="Tahoma"/>
    </font>
    <font>
      <sz val="10"/>
      <name val="Tahoma"/>
    </font>
    <font>
      <b/>
      <sz val="10"/>
      <color rgb="FFFFFFFF"/>
      <name val="Tahoma"/>
    </font>
    <font>
      <b/>
      <sz val="11"/>
      <color rgb="FF17365D"/>
      <name val="Tahoma"/>
    </font>
    <font>
      <b/>
      <sz val="10"/>
      <color rgb="FF17365D"/>
      <name val="Tahoma"/>
    </font>
    <font>
      <b/>
      <sz val="10"/>
      <name val="Tahoma"/>
    </font>
    <font>
      <sz val="9"/>
      <color rgb="FF666666"/>
      <name val="Tahoma"/>
    </font>
    <font>
      <b/>
      <sz val="10"/>
      <color rgb="FF1F2937"/>
      <name val="Tahoma"/>
    </font>
    <font>
      <b/>
      <sz val="10"/>
      <color rgb="FF0070C0"/>
      <name val="Tahoma"/>
    </font>
    <font>
      <sz val="9"/>
      <color rgb="FF404040"/>
      <name val="Tahoma"/>
    </font>
    <font>
      <b/>
      <sz val="10"/>
      <color rgb="FF000000"/>
      <name val="Tahoma"/>
    </font>
  </fonts>
  <fills count="1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AF2F8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9FC"/>
        <bgColor indexed="64"/>
      </patternFill>
    </fill>
  </fills>
  <borders count="17">
    <border>
      <left/>
      <right/>
      <top/>
      <bottom/>
      <diagonal/>
    </border>
    <border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  <border>
      <left style="thin">
        <color rgb="FFD5DCE3"/>
      </left>
      <right/>
      <top style="thin">
        <color rgb="FFD5DCE3"/>
      </top>
      <bottom style="thin">
        <color rgb="FFD5DCE3"/>
      </bottom>
      <diagonal/>
    </border>
    <border>
      <left/>
      <right style="thin">
        <color rgb="FFD5DCE3"/>
      </right>
      <top style="thin">
        <color rgb="FFD5DCE3"/>
      </top>
      <bottom style="thin">
        <color rgb="FFD5DCE3"/>
      </bottom>
      <diagonal/>
    </border>
    <border>
      <left/>
      <right/>
      <top style="thin">
        <color rgb="FFD5DCE3"/>
      </top>
      <bottom style="thin">
        <color rgb="FFD5DCE3"/>
      </bottom>
      <diagonal/>
    </border>
    <border>
      <left/>
      <right style="thin">
        <color rgb="FFD9E1F2"/>
      </right>
      <top/>
      <bottom style="medium">
        <color rgb="FF17365D"/>
      </bottom>
      <diagonal/>
    </border>
    <border>
      <left style="thin">
        <color rgb="FFD9E1F2"/>
      </left>
      <right style="thin">
        <color rgb="FFD9E1F2"/>
      </right>
      <top/>
      <bottom style="medium">
        <color rgb="FF17365D"/>
      </bottom>
      <diagonal/>
    </border>
    <border>
      <left style="thin">
        <color rgb="FFD9E1F2"/>
      </left>
      <right/>
      <top/>
      <bottom style="medium">
        <color rgb="FF17365D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4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8" fillId="7" borderId="0" xfId="1" applyFont="1" applyFill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8" fillId="9" borderId="0" xfId="1" applyFont="1" applyFill="1" applyAlignment="1">
      <alignment horizontal="center" vertical="center"/>
    </xf>
    <xf numFmtId="0" fontId="5" fillId="10" borderId="5" xfId="1" applyFont="1" applyFill="1" applyBorder="1" applyAlignment="1">
      <alignment horizontal="center" vertical="center" wrapText="1"/>
    </xf>
    <xf numFmtId="0" fontId="5" fillId="10" borderId="6" xfId="1" applyFont="1" applyFill="1" applyBorder="1" applyAlignment="1">
      <alignment horizontal="center" vertical="center" wrapText="1"/>
    </xf>
    <xf numFmtId="0" fontId="5" fillId="10" borderId="7" xfId="1" applyFont="1" applyFill="1" applyBorder="1" applyAlignment="1">
      <alignment horizontal="center" vertical="center" wrapText="1"/>
    </xf>
    <xf numFmtId="0" fontId="7" fillId="11" borderId="8" xfId="1" applyFont="1" applyFill="1" applyBorder="1" applyAlignment="1">
      <alignment horizontal="right" vertical="center" wrapText="1"/>
    </xf>
    <xf numFmtId="0" fontId="9" fillId="11" borderId="9" xfId="1" applyFont="1" applyFill="1" applyBorder="1" applyAlignment="1">
      <alignment horizontal="right" vertical="center" wrapText="1"/>
    </xf>
    <xf numFmtId="0" fontId="10" fillId="11" borderId="9" xfId="1" applyFont="1" applyFill="1" applyBorder="1" applyAlignment="1">
      <alignment horizontal="right" vertical="center" wrapText="1"/>
    </xf>
    <xf numFmtId="0" fontId="11" fillId="7" borderId="9" xfId="1" applyFont="1" applyFill="1" applyBorder="1" applyAlignment="1">
      <alignment horizontal="center" vertical="center" wrapText="1"/>
    </xf>
    <xf numFmtId="0" fontId="12" fillId="12" borderId="9" xfId="1" applyFont="1" applyFill="1" applyBorder="1" applyAlignment="1">
      <alignment horizontal="center" vertical="center" wrapText="1"/>
    </xf>
    <xf numFmtId="0" fontId="13" fillId="11" borderId="10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right" vertical="center" wrapText="1"/>
    </xf>
    <xf numFmtId="0" fontId="9" fillId="13" borderId="12" xfId="1" applyFont="1" applyFill="1" applyBorder="1" applyAlignment="1">
      <alignment horizontal="right" vertical="center" wrapText="1"/>
    </xf>
    <xf numFmtId="0" fontId="10" fillId="13" borderId="12" xfId="1" applyFont="1" applyFill="1" applyBorder="1" applyAlignment="1">
      <alignment horizontal="right" vertical="center" wrapText="1"/>
    </xf>
    <xf numFmtId="0" fontId="11" fillId="7" borderId="12" xfId="1" applyFont="1" applyFill="1" applyBorder="1" applyAlignment="1">
      <alignment horizontal="center" vertical="center" wrapText="1"/>
    </xf>
    <xf numFmtId="0" fontId="12" fillId="12" borderId="12" xfId="1" applyFont="1" applyFill="1" applyBorder="1" applyAlignment="1">
      <alignment horizontal="center" vertical="center" wrapText="1"/>
    </xf>
    <xf numFmtId="0" fontId="13" fillId="13" borderId="13" xfId="1" applyFont="1" applyFill="1" applyBorder="1" applyAlignment="1">
      <alignment horizontal="center" vertical="center" wrapText="1"/>
    </xf>
    <xf numFmtId="0" fontId="7" fillId="11" borderId="11" xfId="1" applyFont="1" applyFill="1" applyBorder="1" applyAlignment="1">
      <alignment horizontal="right" vertical="center" wrapText="1"/>
    </xf>
    <xf numFmtId="0" fontId="9" fillId="11" borderId="12" xfId="1" applyFont="1" applyFill="1" applyBorder="1" applyAlignment="1">
      <alignment horizontal="right" vertical="center" wrapText="1"/>
    </xf>
    <xf numFmtId="0" fontId="10" fillId="11" borderId="12" xfId="1" applyFont="1" applyFill="1" applyBorder="1" applyAlignment="1">
      <alignment horizontal="right" vertical="center" wrapText="1"/>
    </xf>
    <xf numFmtId="0" fontId="13" fillId="11" borderId="13" xfId="1" applyFont="1" applyFill="1" applyBorder="1" applyAlignment="1">
      <alignment horizontal="center" vertical="center" wrapText="1"/>
    </xf>
    <xf numFmtId="0" fontId="7" fillId="13" borderId="14" xfId="1" applyFont="1" applyFill="1" applyBorder="1" applyAlignment="1">
      <alignment horizontal="right" vertical="center" wrapText="1"/>
    </xf>
    <xf numFmtId="0" fontId="9" fillId="13" borderId="15" xfId="1" applyFont="1" applyFill="1" applyBorder="1" applyAlignment="1">
      <alignment horizontal="right" vertical="center" wrapText="1"/>
    </xf>
    <xf numFmtId="0" fontId="10" fillId="13" borderId="15" xfId="1" applyFont="1" applyFill="1" applyBorder="1" applyAlignment="1">
      <alignment horizontal="right" vertical="center" wrapText="1"/>
    </xf>
    <xf numFmtId="0" fontId="11" fillId="7" borderId="15" xfId="1" applyFont="1" applyFill="1" applyBorder="1" applyAlignment="1">
      <alignment horizontal="center" vertical="center" wrapText="1"/>
    </xf>
    <xf numFmtId="0" fontId="12" fillId="12" borderId="15" xfId="1" applyFont="1" applyFill="1" applyBorder="1" applyAlignment="1">
      <alignment horizontal="center" vertical="center" wrapText="1"/>
    </xf>
    <xf numFmtId="0" fontId="13" fillId="13" borderId="16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horizontal="right" vertical="center" wrapText="1"/>
    </xf>
    <xf numFmtId="0" fontId="7" fillId="6" borderId="4" xfId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D7F7AD7E-8761-4293-957A-E103AB021399}"/>
  </cellStyles>
  <dxfs count="17"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ont>
        <b/>
        <i val="0"/>
        <color rgb="FF006100"/>
      </font>
      <fill>
        <patternFill patternType="solid">
          <fgColor indexed="64"/>
          <bgColor rgb="FFE2F0D9"/>
        </patternFill>
      </fill>
    </dxf>
    <dxf>
      <font>
        <b/>
        <sz val="10"/>
        <color rgb="FF000000"/>
        <name val="Tahoma"/>
      </font>
      <alignment horizontal="center" vertical="center" wrapText="1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sz val="9"/>
        <color rgb="FF404040"/>
        <name val="Tahoma"/>
      </font>
      <fill>
        <patternFill patternType="solid">
          <fgColor indexed="64"/>
          <bgColor rgb="FFF2F2F2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color rgb="FF0070C0"/>
        <name val="Tahoma"/>
      </font>
      <fill>
        <patternFill patternType="solid">
          <fgColor indexed="64"/>
          <bgColor rgb="FFDDEBF7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name val="Tahoma"/>
      </font>
      <alignment vertical="center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color rgb="FF0070C0"/>
        <name val="Tahoma"/>
      </font>
      <fill>
        <patternFill patternType="solid">
          <fgColor indexed="64"/>
          <bgColor rgb="FFDDEBF7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name val="Tahoma"/>
      </font>
      <alignment vertical="center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color rgb="FF0070C0"/>
        <name val="Tahoma"/>
      </font>
      <fill>
        <patternFill patternType="solid">
          <fgColor indexed="64"/>
          <bgColor rgb="FFDDEBF7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name val="Tahoma"/>
      </font>
      <alignment vertical="center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sz val="9"/>
        <color rgb="FF666666"/>
        <name val="Tahoma"/>
      </font>
      <alignment vertical="center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font>
        <b/>
        <sz val="10"/>
        <color rgb="FF17365D"/>
        <name val="Tahoma"/>
      </font>
      <alignment vertical="center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 style="thin">
          <color rgb="FFD9E1F2"/>
        </vertical>
        <horizontal style="thin">
          <color rgb="FFD9E1F2"/>
        </horizontal>
      </border>
    </dxf>
    <dxf>
      <border>
        <top style="thin">
          <color rgb="FFD9E1F2"/>
        </top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7F8C8D"/>
        </top>
        <bottom style="thin">
          <color rgb="FF7F8C8D"/>
        </bottom>
      </border>
    </dxf>
    <dxf>
      <font>
        <sz val="10"/>
        <name val="Tahoma"/>
      </font>
      <alignment vertical="center"/>
    </dxf>
    <dxf>
      <border>
        <bottom style="medium">
          <color rgb="FF17365D"/>
        </bottom>
      </border>
    </dxf>
    <dxf>
      <font>
        <b/>
        <sz val="10"/>
        <color rgb="FFFFFFFF"/>
        <name val="Tahoma"/>
      </font>
      <fill>
        <patternFill patternType="solid">
          <fgColor indexed="64"/>
          <bgColor rgb="FF1F4E78"/>
        </patternFill>
      </fill>
      <alignment horizontal="center" vertical="center" wrapText="1"/>
      <border diagonalUp="0" diagonalDown="0">
        <left style="thin">
          <color rgb="FFD9E1F2"/>
        </left>
        <right style="thin">
          <color rgb="FFD9E1F2"/>
        </right>
        <top/>
        <bottom/>
        <vertical style="thin">
          <color rgb="FFD9E1F2"/>
        </vertical>
        <horizontal style="thin">
          <color rgb="FFD9E1F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257D9-3C64-43DD-AF82-E4750F47DD92}" name="ProfileSummary13" displayName="ProfileSummary13" ref="A7:J27" totalsRowShown="0" headerRowDxfId="16" dataDxfId="14" headerRowBorderDxfId="15" tableBorderDxfId="13" totalsRowBorderDxfId="12">
  <tableColumns count="10">
    <tableColumn id="1" xr3:uid="{F8BD1AC0-B96F-4CBC-85CB-D2ED456B9CF1}" name="جزء/زیرسامانه" dataDxfId="11"/>
    <tableColumn id="2" xr3:uid="{EA46DF58-0D20-429C-8E73-DAE8336ABAC2}" name="کد بخش" dataDxfId="10"/>
    <tableColumn id="3" xr3:uid="{58184E6A-1901-4C8A-83CE-ACB12ACBE084}" name="فیلد ۱" dataDxfId="9"/>
    <tableColumn id="4" xr3:uid="{F6AF105E-BD50-4E1F-A121-11878142AE13}" name="مقدار ۱" dataDxfId="8"/>
    <tableColumn id="5" xr3:uid="{2055E6F8-01D1-4071-8928-70AA40F6CD11}" name="فیلد ۲" dataDxfId="7"/>
    <tableColumn id="6" xr3:uid="{458E1BC6-03D6-49C3-882A-D59A02234688}" name="مقدار ۲" dataDxfId="6"/>
    <tableColumn id="7" xr3:uid="{FBCA1459-422C-4D9A-BF12-C4E72DB1713C}" name="فیلد ۳" dataDxfId="5"/>
    <tableColumn id="8" xr3:uid="{E53CE563-B19A-47F8-BEA7-85FF78E6FD28}" name="مقدار ۳" dataDxfId="4"/>
    <tableColumn id="9" xr3:uid="{E39CDAF7-4D0D-4C50-9368-0ECC0BC40D2F}" name="کلید فنی" dataDxfId="3">
      <calculatedColumnFormula>IF(AND(F8="",H8=""),"",F8&amp;IF(H8&lt;&gt;""," | "&amp;H8,""))</calculatedColumnFormula>
    </tableColumn>
    <tableColumn id="10" xr3:uid="{B5683322-3E87-44D4-BC60-529C804C8560}" name="وضعیت تکمیل" dataDxfId="2">
      <calculatedColumnFormula>IF(AND(D8="",F8="",H8=""),"نیاز به تکمیل","تکمیل شده/در حال تکمیل")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FF1C-9DD4-4D15-AD31-C2CDD6C18C06}">
  <dimension ref="A1:AM31"/>
  <sheetViews>
    <sheetView showGridLines="0" tabSelected="1" zoomScale="55" zoomScaleNormal="55" workbookViewId="0">
      <pane ySplit="7" topLeftCell="A14" activePane="bottomLeft" state="frozen"/>
      <selection pane="bottomLeft" activeCell="G18" sqref="G18"/>
    </sheetView>
  </sheetViews>
  <sheetFormatPr defaultRowHeight="13.8"/>
  <cols>
    <col min="1" max="1" width="38.88671875" style="1" customWidth="1"/>
    <col min="2" max="2" width="21.33203125" style="1" customWidth="1"/>
    <col min="3" max="3" width="23.109375" style="1" customWidth="1"/>
    <col min="4" max="4" width="21.33203125" style="1" customWidth="1"/>
    <col min="5" max="5" width="25" style="1" customWidth="1"/>
    <col min="6" max="6" width="35.21875" style="1" customWidth="1"/>
    <col min="7" max="7" width="26.88671875" style="1" customWidth="1"/>
    <col min="8" max="8" width="33.33203125" style="1" customWidth="1"/>
    <col min="9" max="9" width="42.5546875" style="1" customWidth="1"/>
    <col min="10" max="10" width="25" style="1" customWidth="1"/>
    <col min="11" max="39" width="0" style="1" hidden="1" customWidth="1"/>
    <col min="40" max="16384" width="8.88671875" style="1"/>
  </cols>
  <sheetData>
    <row r="1" spans="1:39" ht="34.049999999999997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</row>
    <row r="2" spans="1:39" ht="42" customHeight="1">
      <c r="A2" s="34" t="s">
        <v>29</v>
      </c>
      <c r="B2" s="34"/>
      <c r="C2" s="34"/>
      <c r="D2" s="34"/>
      <c r="E2" s="34"/>
      <c r="F2" s="34"/>
      <c r="G2" s="34"/>
      <c r="H2" s="34"/>
      <c r="I2" s="34"/>
      <c r="J2" s="34"/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36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</row>
    <row r="3" spans="1:39">
      <c r="A3" s="2"/>
      <c r="B3" s="2"/>
      <c r="C3" s="2"/>
      <c r="D3" s="2"/>
      <c r="E3" s="2"/>
      <c r="F3" s="2"/>
      <c r="G3" s="2"/>
      <c r="H3" s="2"/>
      <c r="I3" s="2"/>
      <c r="J3" s="2"/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46</v>
      </c>
      <c r="S3" s="1" t="s">
        <v>63</v>
      </c>
      <c r="T3" s="1" t="s">
        <v>64</v>
      </c>
      <c r="U3" s="1" t="s">
        <v>65</v>
      </c>
      <c r="V3" s="1" t="s">
        <v>66</v>
      </c>
      <c r="W3" s="1" t="s">
        <v>67</v>
      </c>
      <c r="X3" s="1" t="s">
        <v>68</v>
      </c>
      <c r="Y3" s="1" t="s">
        <v>69</v>
      </c>
      <c r="Z3" s="1" t="s">
        <v>70</v>
      </c>
      <c r="AA3" s="1" t="s">
        <v>36</v>
      </c>
      <c r="AB3" s="1" t="s">
        <v>71</v>
      </c>
      <c r="AC3" s="1" t="s">
        <v>36</v>
      </c>
      <c r="AD3" s="1" t="s">
        <v>72</v>
      </c>
      <c r="AE3" s="1" t="s">
        <v>46</v>
      </c>
      <c r="AF3" s="1" t="s">
        <v>73</v>
      </c>
      <c r="AG3" s="1" t="s">
        <v>74</v>
      </c>
      <c r="AH3" s="1" t="s">
        <v>75</v>
      </c>
      <c r="AI3" s="1" t="s">
        <v>76</v>
      </c>
      <c r="AJ3" s="1" t="s">
        <v>77</v>
      </c>
      <c r="AK3" s="1" t="s">
        <v>78</v>
      </c>
      <c r="AL3" s="1" t="s">
        <v>79</v>
      </c>
      <c r="AM3" s="1" t="s">
        <v>80</v>
      </c>
    </row>
    <row r="4" spans="1:39" ht="27" customHeight="1">
      <c r="A4" s="3" t="s">
        <v>81</v>
      </c>
      <c r="B4" s="35" t="str">
        <f>IF(D8="","",D8)</f>
        <v>مترو آزاداگان</v>
      </c>
      <c r="C4" s="36"/>
      <c r="D4" s="3" t="s">
        <v>82</v>
      </c>
      <c r="E4" s="35" t="str">
        <f>IF(F8="","",F8)</f>
        <v/>
      </c>
      <c r="F4" s="36"/>
      <c r="G4" s="3" t="s">
        <v>2</v>
      </c>
      <c r="H4" s="35" t="str">
        <f>IF(H8="","",H8)</f>
        <v>راه‌آهن</v>
      </c>
      <c r="I4" s="37"/>
      <c r="J4" s="36"/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93</v>
      </c>
      <c r="W4" s="1" t="s">
        <v>94</v>
      </c>
      <c r="X4" s="1" t="s">
        <v>95</v>
      </c>
      <c r="Y4" s="1" t="s">
        <v>96</v>
      </c>
      <c r="Z4" s="1" t="s">
        <v>97</v>
      </c>
      <c r="AA4" s="1" t="s">
        <v>98</v>
      </c>
      <c r="AB4" s="1" t="s">
        <v>99</v>
      </c>
      <c r="AC4" s="1" t="s">
        <v>89</v>
      </c>
      <c r="AD4" s="1" t="s">
        <v>100</v>
      </c>
      <c r="AE4" s="1" t="s">
        <v>36</v>
      </c>
      <c r="AF4" s="1" t="s">
        <v>101</v>
      </c>
      <c r="AG4" s="1" t="s">
        <v>102</v>
      </c>
      <c r="AH4" s="1" t="s">
        <v>103</v>
      </c>
      <c r="AI4" s="1" t="s">
        <v>104</v>
      </c>
      <c r="AJ4" s="1" t="s">
        <v>105</v>
      </c>
      <c r="AK4" s="1" t="s">
        <v>106</v>
      </c>
      <c r="AL4" s="1" t="s">
        <v>107</v>
      </c>
      <c r="AM4" s="1" t="s">
        <v>107</v>
      </c>
    </row>
    <row r="5" spans="1:39" ht="24" customHeight="1">
      <c r="A5" s="4" t="s">
        <v>108</v>
      </c>
      <c r="B5" s="5" t="s">
        <v>109</v>
      </c>
      <c r="C5" s="2"/>
      <c r="D5" s="2"/>
      <c r="E5" s="6" t="s">
        <v>110</v>
      </c>
      <c r="F5" s="2"/>
      <c r="G5" s="2"/>
      <c r="H5" s="7" t="s">
        <v>111</v>
      </c>
      <c r="I5" s="2"/>
      <c r="J5" s="2"/>
      <c r="M5" s="1" t="s">
        <v>112</v>
      </c>
      <c r="N5" s="1" t="s">
        <v>113</v>
      </c>
      <c r="O5" s="1" t="s">
        <v>114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124</v>
      </c>
      <c r="Z5" s="1" t="s">
        <v>125</v>
      </c>
      <c r="AA5" s="1" t="s">
        <v>126</v>
      </c>
      <c r="AB5" s="1" t="s">
        <v>127</v>
      </c>
      <c r="AC5" s="1" t="s">
        <v>64</v>
      </c>
      <c r="AD5" s="1" t="s">
        <v>128</v>
      </c>
      <c r="AE5" s="1" t="s">
        <v>89</v>
      </c>
      <c r="AF5" s="1" t="s">
        <v>129</v>
      </c>
      <c r="AG5" s="1" t="s">
        <v>130</v>
      </c>
      <c r="AH5" s="1" t="s">
        <v>131</v>
      </c>
      <c r="AI5" s="1" t="s">
        <v>132</v>
      </c>
      <c r="AJ5" s="1" t="s">
        <v>133</v>
      </c>
      <c r="AK5" s="1" t="s">
        <v>134</v>
      </c>
    </row>
    <row r="6" spans="1:39">
      <c r="A6" s="2"/>
      <c r="B6" s="2"/>
      <c r="C6" s="2"/>
      <c r="D6" s="2"/>
      <c r="E6" s="2"/>
      <c r="F6" s="2"/>
      <c r="G6" s="2"/>
      <c r="H6" s="2"/>
      <c r="I6" s="2"/>
      <c r="J6" s="2"/>
      <c r="N6" s="1" t="s">
        <v>135</v>
      </c>
      <c r="O6" s="1" t="s">
        <v>136</v>
      </c>
      <c r="P6" s="1" t="s">
        <v>137</v>
      </c>
      <c r="Q6" s="1" t="s">
        <v>138</v>
      </c>
      <c r="R6" s="1" t="s">
        <v>64</v>
      </c>
      <c r="S6" s="1" t="s">
        <v>139</v>
      </c>
      <c r="T6" s="1" t="s">
        <v>100</v>
      </c>
      <c r="U6" s="1" t="s">
        <v>140</v>
      </c>
      <c r="V6" s="1" t="s">
        <v>141</v>
      </c>
      <c r="W6" s="1" t="s">
        <v>142</v>
      </c>
      <c r="X6" s="1" t="s">
        <v>143</v>
      </c>
      <c r="Y6" s="1" t="s">
        <v>144</v>
      </c>
      <c r="Z6" s="1" t="s">
        <v>145</v>
      </c>
      <c r="AA6" s="1" t="s">
        <v>91</v>
      </c>
      <c r="AB6" s="1" t="s">
        <v>146</v>
      </c>
      <c r="AC6" s="1" t="s">
        <v>147</v>
      </c>
      <c r="AE6" s="1" t="s">
        <v>148</v>
      </c>
      <c r="AF6" s="1" t="s">
        <v>149</v>
      </c>
      <c r="AG6" s="1" t="s">
        <v>150</v>
      </c>
      <c r="AH6" s="1" t="s">
        <v>151</v>
      </c>
      <c r="AJ6" s="1" t="s">
        <v>152</v>
      </c>
      <c r="AK6" s="1" t="s">
        <v>153</v>
      </c>
    </row>
    <row r="7" spans="1:39" ht="30" customHeight="1" thickBot="1">
      <c r="A7" s="8" t="s">
        <v>154</v>
      </c>
      <c r="B7" s="9" t="s">
        <v>155</v>
      </c>
      <c r="C7" s="9" t="s">
        <v>156</v>
      </c>
      <c r="D7" s="9" t="s">
        <v>157</v>
      </c>
      <c r="E7" s="9" t="s">
        <v>158</v>
      </c>
      <c r="F7" s="9" t="s">
        <v>159</v>
      </c>
      <c r="G7" s="9" t="s">
        <v>160</v>
      </c>
      <c r="H7" s="9" t="s">
        <v>161</v>
      </c>
      <c r="I7" s="9" t="s">
        <v>162</v>
      </c>
      <c r="J7" s="10" t="s">
        <v>163</v>
      </c>
      <c r="N7" s="1" t="s">
        <v>164</v>
      </c>
      <c r="O7" s="1" t="s">
        <v>46</v>
      </c>
      <c r="P7" s="1" t="s">
        <v>165</v>
      </c>
      <c r="Q7" s="1" t="s">
        <v>89</v>
      </c>
      <c r="R7" s="1" t="s">
        <v>91</v>
      </c>
      <c r="S7" s="1" t="s">
        <v>166</v>
      </c>
      <c r="U7" s="1" t="s">
        <v>167</v>
      </c>
      <c r="V7" s="1" t="s">
        <v>168</v>
      </c>
      <c r="W7" s="1" t="s">
        <v>169</v>
      </c>
      <c r="X7" s="1" t="s">
        <v>149</v>
      </c>
      <c r="Y7" s="1" t="s">
        <v>170</v>
      </c>
      <c r="Z7" s="1" t="s">
        <v>171</v>
      </c>
      <c r="AA7" s="1" t="s">
        <v>172</v>
      </c>
      <c r="AC7" s="1" t="s">
        <v>91</v>
      </c>
      <c r="AE7" s="1" t="s">
        <v>147</v>
      </c>
      <c r="AG7" s="1" t="s">
        <v>173</v>
      </c>
      <c r="AH7" s="1" t="s">
        <v>174</v>
      </c>
      <c r="AJ7" s="1" t="s">
        <v>175</v>
      </c>
      <c r="AK7" s="1" t="s">
        <v>176</v>
      </c>
    </row>
    <row r="8" spans="1:39" ht="36" customHeight="1">
      <c r="A8" s="11" t="s">
        <v>177</v>
      </c>
      <c r="B8" s="12" t="s">
        <v>178</v>
      </c>
      <c r="C8" s="13" t="s">
        <v>81</v>
      </c>
      <c r="D8" s="14" t="s">
        <v>343</v>
      </c>
      <c r="E8" s="13" t="s">
        <v>82</v>
      </c>
      <c r="F8" s="14"/>
      <c r="G8" s="13" t="s">
        <v>179</v>
      </c>
      <c r="H8" s="14" t="s">
        <v>58</v>
      </c>
      <c r="I8" s="15" t="str">
        <f t="shared" ref="I8:I27" si="0">IF(AND(F8="",H8=""),"",F8&amp;IF(H8&lt;&gt;""," | "&amp;H8,""))</f>
        <v xml:space="preserve"> | راه‌آهن</v>
      </c>
      <c r="J8" s="16" t="str">
        <f t="shared" ref="J8:J27" si="1">IF(AND(D8="",F8="",H8=""),"نیاز به تکمیل","تکمیل شده/در حال تکمیل")</f>
        <v>تکمیل شده/در حال تکمیل</v>
      </c>
      <c r="N8" s="1" t="s">
        <v>180</v>
      </c>
      <c r="O8" s="1" t="s">
        <v>89</v>
      </c>
      <c r="P8" s="1" t="s">
        <v>181</v>
      </c>
      <c r="Q8" s="1" t="s">
        <v>136</v>
      </c>
      <c r="R8" s="1" t="s">
        <v>182</v>
      </c>
      <c r="S8" s="1" t="s">
        <v>183</v>
      </c>
      <c r="U8" s="1" t="s">
        <v>184</v>
      </c>
      <c r="V8" s="1" t="s">
        <v>185</v>
      </c>
      <c r="W8" s="1" t="s">
        <v>186</v>
      </c>
      <c r="Y8" s="1" t="s">
        <v>187</v>
      </c>
      <c r="Z8" s="1" t="s">
        <v>188</v>
      </c>
      <c r="AA8" s="1" t="s">
        <v>189</v>
      </c>
      <c r="AC8" s="1" t="s">
        <v>149</v>
      </c>
      <c r="AE8" s="1" t="s">
        <v>91</v>
      </c>
      <c r="AG8" s="1" t="s">
        <v>149</v>
      </c>
      <c r="AH8" s="1" t="s">
        <v>190</v>
      </c>
      <c r="AJ8" s="1" t="s">
        <v>191</v>
      </c>
      <c r="AK8" s="1" t="s">
        <v>192</v>
      </c>
    </row>
    <row r="9" spans="1:39" ht="36" customHeight="1">
      <c r="A9" s="17" t="s">
        <v>193</v>
      </c>
      <c r="B9" s="18" t="s">
        <v>194</v>
      </c>
      <c r="C9" s="19" t="s">
        <v>195</v>
      </c>
      <c r="D9" s="20">
        <v>4</v>
      </c>
      <c r="E9" s="19" t="s">
        <v>196</v>
      </c>
      <c r="F9" s="20">
        <v>70</v>
      </c>
      <c r="G9" s="19" t="s">
        <v>197</v>
      </c>
      <c r="H9" s="20"/>
      <c r="I9" s="21" t="str">
        <f t="shared" si="0"/>
        <v>70</v>
      </c>
      <c r="J9" s="22" t="str">
        <f t="shared" si="1"/>
        <v>تکمیل شده/در حال تکمیل</v>
      </c>
      <c r="N9" s="1" t="s">
        <v>198</v>
      </c>
      <c r="O9" s="1" t="s">
        <v>91</v>
      </c>
      <c r="P9" s="1" t="s">
        <v>199</v>
      </c>
      <c r="Q9" s="1" t="s">
        <v>91</v>
      </c>
      <c r="R9" s="1" t="s">
        <v>147</v>
      </c>
      <c r="S9" s="1" t="s">
        <v>200</v>
      </c>
      <c r="U9" s="1" t="s">
        <v>149</v>
      </c>
      <c r="V9" s="1" t="s">
        <v>201</v>
      </c>
      <c r="W9" s="1" t="s">
        <v>202</v>
      </c>
      <c r="Y9" s="1" t="s">
        <v>203</v>
      </c>
      <c r="Z9" s="1" t="s">
        <v>204</v>
      </c>
      <c r="AA9" s="1" t="s">
        <v>149</v>
      </c>
      <c r="AE9" s="1" t="s">
        <v>205</v>
      </c>
      <c r="AG9" s="1" t="s">
        <v>206</v>
      </c>
      <c r="AJ9" s="1" t="s">
        <v>207</v>
      </c>
      <c r="AK9" s="1" t="s">
        <v>208</v>
      </c>
    </row>
    <row r="10" spans="1:39" ht="36" customHeight="1">
      <c r="A10" s="23" t="s">
        <v>209</v>
      </c>
      <c r="B10" s="24" t="s">
        <v>210</v>
      </c>
      <c r="C10" s="25" t="s">
        <v>211</v>
      </c>
      <c r="D10" s="20" t="s">
        <v>30</v>
      </c>
      <c r="E10" s="25" t="s">
        <v>212</v>
      </c>
      <c r="F10" s="20" t="s">
        <v>32</v>
      </c>
      <c r="G10" s="25" t="s">
        <v>213</v>
      </c>
      <c r="H10" s="20"/>
      <c r="I10" s="21" t="str">
        <f t="shared" si="0"/>
        <v>دهانه‌های ساده (دو سر مفصل)</v>
      </c>
      <c r="J10" s="26" t="str">
        <f t="shared" si="1"/>
        <v>تکمیل شده/در حال تکمیل</v>
      </c>
      <c r="N10" s="1" t="s">
        <v>214</v>
      </c>
      <c r="O10" s="1" t="s">
        <v>182</v>
      </c>
      <c r="P10" s="1" t="s">
        <v>215</v>
      </c>
      <c r="Q10" s="1" t="s">
        <v>182</v>
      </c>
      <c r="R10" s="1" t="s">
        <v>100</v>
      </c>
      <c r="S10" s="1" t="s">
        <v>216</v>
      </c>
      <c r="V10" s="1" t="s">
        <v>217</v>
      </c>
      <c r="W10" s="1" t="s">
        <v>218</v>
      </c>
      <c r="Y10" s="1" t="s">
        <v>219</v>
      </c>
      <c r="Z10" s="1" t="s">
        <v>220</v>
      </c>
      <c r="AE10" s="1" t="s">
        <v>149</v>
      </c>
      <c r="AJ10" s="1" t="s">
        <v>221</v>
      </c>
      <c r="AK10" s="1" t="s">
        <v>222</v>
      </c>
    </row>
    <row r="11" spans="1:39" ht="36" customHeight="1">
      <c r="A11" s="17" t="s">
        <v>223</v>
      </c>
      <c r="B11" s="18" t="s">
        <v>224</v>
      </c>
      <c r="C11" s="19" t="s">
        <v>211</v>
      </c>
      <c r="D11" s="20" t="s">
        <v>83</v>
      </c>
      <c r="E11" s="19" t="s">
        <v>225</v>
      </c>
      <c r="F11" s="20" t="s">
        <v>165</v>
      </c>
      <c r="G11" s="19" t="s">
        <v>226</v>
      </c>
      <c r="H11" s="20" t="s">
        <v>33</v>
      </c>
      <c r="I11" s="21" t="str">
        <f t="shared" si="0"/>
        <v>شاه‌تیرهای طرفین و تیرهای عرضی + عرشه پیش‌ساخته مجوف بتن‌آرمه | بتن درجا - بتن مسلح</v>
      </c>
      <c r="J11" s="22" t="str">
        <f t="shared" si="1"/>
        <v>تکمیل شده/در حال تکمیل</v>
      </c>
      <c r="N11" s="1" t="s">
        <v>104</v>
      </c>
      <c r="O11" s="1" t="s">
        <v>147</v>
      </c>
      <c r="P11" s="1" t="s">
        <v>227</v>
      </c>
      <c r="Q11" s="1" t="s">
        <v>228</v>
      </c>
      <c r="S11" s="1" t="s">
        <v>229</v>
      </c>
      <c r="V11" s="1" t="s">
        <v>230</v>
      </c>
      <c r="W11" s="1" t="s">
        <v>231</v>
      </c>
      <c r="Y11" s="1" t="s">
        <v>232</v>
      </c>
      <c r="Z11" s="1" t="s">
        <v>233</v>
      </c>
      <c r="AJ11" s="1" t="s">
        <v>234</v>
      </c>
    </row>
    <row r="12" spans="1:39" ht="36" customHeight="1">
      <c r="A12" s="23" t="s">
        <v>235</v>
      </c>
      <c r="B12" s="24" t="s">
        <v>236</v>
      </c>
      <c r="C12" s="25" t="s">
        <v>211</v>
      </c>
      <c r="D12" s="20" t="s">
        <v>30</v>
      </c>
      <c r="E12" s="25" t="s">
        <v>237</v>
      </c>
      <c r="F12" s="20" t="s">
        <v>35</v>
      </c>
      <c r="G12" s="25" t="s">
        <v>238</v>
      </c>
      <c r="H12" s="20"/>
      <c r="I12" s="21" t="str">
        <f t="shared" si="0"/>
        <v>بتن مسلح درجا</v>
      </c>
      <c r="J12" s="26" t="str">
        <f t="shared" si="1"/>
        <v>تکمیل شده/در حال تکمیل</v>
      </c>
      <c r="N12" s="1" t="s">
        <v>239</v>
      </c>
      <c r="O12" s="1" t="s">
        <v>240</v>
      </c>
      <c r="P12" s="1" t="s">
        <v>241</v>
      </c>
      <c r="Q12" s="1" t="s">
        <v>100</v>
      </c>
      <c r="S12" s="1" t="s">
        <v>242</v>
      </c>
      <c r="W12" s="1" t="s">
        <v>243</v>
      </c>
      <c r="Y12" s="1" t="s">
        <v>244</v>
      </c>
      <c r="Z12" s="1" t="s">
        <v>245</v>
      </c>
    </row>
    <row r="13" spans="1:39" ht="36" customHeight="1">
      <c r="A13" s="17" t="s">
        <v>246</v>
      </c>
      <c r="B13" s="18" t="s">
        <v>247</v>
      </c>
      <c r="C13" s="19" t="s">
        <v>248</v>
      </c>
      <c r="D13" s="20" t="s">
        <v>30</v>
      </c>
      <c r="E13" s="19" t="s">
        <v>249</v>
      </c>
      <c r="F13" s="20" t="s">
        <v>90</v>
      </c>
      <c r="G13" s="19" t="s">
        <v>7</v>
      </c>
      <c r="H13" s="20" t="s">
        <v>36</v>
      </c>
      <c r="I13" s="21" t="str">
        <f t="shared" si="0"/>
        <v>منشوری دایروی | بتن مسلح</v>
      </c>
      <c r="J13" s="22" t="str">
        <f t="shared" si="1"/>
        <v>تکمیل شده/در حال تکمیل</v>
      </c>
      <c r="O13" s="1" t="s">
        <v>100</v>
      </c>
      <c r="P13" s="1" t="s">
        <v>250</v>
      </c>
      <c r="S13" s="1" t="s">
        <v>251</v>
      </c>
      <c r="W13" s="1" t="s">
        <v>252</v>
      </c>
      <c r="Y13" s="1" t="s">
        <v>149</v>
      </c>
      <c r="Z13" s="1" t="s">
        <v>253</v>
      </c>
    </row>
    <row r="14" spans="1:39" ht="36" customHeight="1">
      <c r="A14" s="23" t="s">
        <v>254</v>
      </c>
      <c r="B14" s="24" t="s">
        <v>255</v>
      </c>
      <c r="C14" s="25" t="s">
        <v>211</v>
      </c>
      <c r="D14" s="20" t="s">
        <v>30</v>
      </c>
      <c r="E14" s="25" t="s">
        <v>10</v>
      </c>
      <c r="F14" s="20" t="s">
        <v>38</v>
      </c>
      <c r="G14" s="25" t="s">
        <v>9</v>
      </c>
      <c r="H14" s="20" t="s">
        <v>64</v>
      </c>
      <c r="I14" s="21" t="str">
        <f t="shared" si="0"/>
        <v>کوله بسته - دیوار حائل وزنی | بتن ساده</v>
      </c>
      <c r="J14" s="26" t="str">
        <f t="shared" si="1"/>
        <v>تکمیل شده/در حال تکمیل</v>
      </c>
      <c r="P14" s="1" t="s">
        <v>256</v>
      </c>
      <c r="S14" s="1" t="s">
        <v>257</v>
      </c>
      <c r="W14" s="1" t="s">
        <v>258</v>
      </c>
      <c r="Z14" s="1" t="s">
        <v>259</v>
      </c>
    </row>
    <row r="15" spans="1:39" ht="36" customHeight="1">
      <c r="A15" s="17" t="s">
        <v>260</v>
      </c>
      <c r="B15" s="18" t="s">
        <v>261</v>
      </c>
      <c r="C15" s="19" t="s">
        <v>211</v>
      </c>
      <c r="D15" s="20" t="s">
        <v>83</v>
      </c>
      <c r="E15" s="19" t="s">
        <v>262</v>
      </c>
      <c r="F15" s="20"/>
      <c r="G15" s="19" t="s">
        <v>263</v>
      </c>
      <c r="H15" s="20"/>
      <c r="I15" s="21" t="str">
        <f t="shared" si="0"/>
        <v/>
      </c>
      <c r="J15" s="22" t="str">
        <f t="shared" si="1"/>
        <v>تکمیل شده/در حال تکمیل</v>
      </c>
      <c r="P15" s="1" t="s">
        <v>264</v>
      </c>
      <c r="S15" s="1" t="s">
        <v>265</v>
      </c>
      <c r="W15" s="1" t="s">
        <v>266</v>
      </c>
      <c r="Z15" s="1" t="s">
        <v>267</v>
      </c>
    </row>
    <row r="16" spans="1:39" ht="36" customHeight="1">
      <c r="A16" s="23" t="s">
        <v>268</v>
      </c>
      <c r="B16" s="24" t="s">
        <v>269</v>
      </c>
      <c r="C16" s="25" t="s">
        <v>270</v>
      </c>
      <c r="D16" s="20" t="s">
        <v>30</v>
      </c>
      <c r="E16" s="25" t="s">
        <v>271</v>
      </c>
      <c r="F16" s="20" t="s">
        <v>68</v>
      </c>
      <c r="G16" s="25" t="s">
        <v>272</v>
      </c>
      <c r="H16" s="20" t="s">
        <v>219</v>
      </c>
      <c r="I16" s="21" t="str">
        <f t="shared" si="0"/>
        <v>الاستومر | الاستومر مسلح با ورق فولادی</v>
      </c>
      <c r="J16" s="26" t="str">
        <f t="shared" si="1"/>
        <v>تکمیل شده/در حال تکمیل</v>
      </c>
      <c r="P16" s="1" t="s">
        <v>273</v>
      </c>
      <c r="S16" s="1" t="s">
        <v>274</v>
      </c>
      <c r="W16" s="1" t="s">
        <v>149</v>
      </c>
      <c r="Z16" s="1" t="s">
        <v>275</v>
      </c>
    </row>
    <row r="17" spans="1:26" ht="36" customHeight="1">
      <c r="A17" s="17" t="s">
        <v>276</v>
      </c>
      <c r="B17" s="18" t="s">
        <v>277</v>
      </c>
      <c r="C17" s="19" t="s">
        <v>278</v>
      </c>
      <c r="D17" s="20" t="s">
        <v>30</v>
      </c>
      <c r="E17" s="19" t="s">
        <v>279</v>
      </c>
      <c r="F17" s="20" t="s">
        <v>43</v>
      </c>
      <c r="G17" s="19" t="s">
        <v>280</v>
      </c>
      <c r="H17" s="20"/>
      <c r="I17" s="21" t="str">
        <f t="shared" si="0"/>
        <v>درز ساده باز</v>
      </c>
      <c r="J17" s="22" t="str">
        <f t="shared" si="1"/>
        <v>تکمیل شده/در حال تکمیل</v>
      </c>
      <c r="P17" s="1" t="s">
        <v>281</v>
      </c>
      <c r="S17" s="1" t="s">
        <v>282</v>
      </c>
      <c r="Z17" s="1" t="s">
        <v>283</v>
      </c>
    </row>
    <row r="18" spans="1:26" ht="36" customHeight="1">
      <c r="A18" s="23" t="s">
        <v>284</v>
      </c>
      <c r="B18" s="24" t="s">
        <v>285</v>
      </c>
      <c r="C18" s="25" t="s">
        <v>286</v>
      </c>
      <c r="D18" s="20" t="s">
        <v>30</v>
      </c>
      <c r="E18" s="25" t="s">
        <v>16</v>
      </c>
      <c r="F18" s="20" t="s">
        <v>172</v>
      </c>
      <c r="G18" s="25" t="s">
        <v>287</v>
      </c>
      <c r="H18" s="20" t="s">
        <v>146</v>
      </c>
      <c r="I18" s="21" t="str">
        <f t="shared" si="0"/>
        <v>راه‌آهن - ریل روی تراورس و بالاست متکی بر عرشه | فاقد/نامشخص</v>
      </c>
      <c r="J18" s="26" t="str">
        <f t="shared" si="1"/>
        <v>تکمیل شده/در حال تکمیل</v>
      </c>
      <c r="P18" s="1" t="s">
        <v>288</v>
      </c>
      <c r="S18" s="1" t="s">
        <v>149</v>
      </c>
      <c r="Z18" s="1" t="s">
        <v>149</v>
      </c>
    </row>
    <row r="19" spans="1:26" ht="36" customHeight="1">
      <c r="A19" s="17" t="s">
        <v>289</v>
      </c>
      <c r="B19" s="18" t="s">
        <v>290</v>
      </c>
      <c r="C19" s="19" t="s">
        <v>291</v>
      </c>
      <c r="D19" s="20" t="s">
        <v>30</v>
      </c>
      <c r="E19" s="19" t="s">
        <v>292</v>
      </c>
      <c r="F19" s="20"/>
      <c r="G19" s="19" t="s">
        <v>28</v>
      </c>
      <c r="H19" s="20" t="s">
        <v>56</v>
      </c>
      <c r="I19" s="21" t="str">
        <f t="shared" si="0"/>
        <v xml:space="preserve"> | مناسب</v>
      </c>
      <c r="J19" s="22" t="str">
        <f t="shared" si="1"/>
        <v>تکمیل شده/در حال تکمیل</v>
      </c>
      <c r="P19" s="1" t="s">
        <v>293</v>
      </c>
    </row>
    <row r="20" spans="1:26" ht="36" customHeight="1">
      <c r="A20" s="23" t="s">
        <v>294</v>
      </c>
      <c r="B20" s="24" t="s">
        <v>295</v>
      </c>
      <c r="C20" s="25" t="s">
        <v>211</v>
      </c>
      <c r="D20" s="20" t="s">
        <v>30</v>
      </c>
      <c r="E20" s="25" t="s">
        <v>296</v>
      </c>
      <c r="F20" s="20"/>
      <c r="G20" s="25" t="s">
        <v>297</v>
      </c>
      <c r="H20" s="20" t="s">
        <v>46</v>
      </c>
      <c r="I20" s="21" t="str">
        <f t="shared" si="0"/>
        <v xml:space="preserve"> | فولادی</v>
      </c>
      <c r="J20" s="26" t="str">
        <f t="shared" si="1"/>
        <v>تکمیل شده/در حال تکمیل</v>
      </c>
      <c r="P20" s="1" t="s">
        <v>298</v>
      </c>
    </row>
    <row r="21" spans="1:26" ht="36" customHeight="1">
      <c r="A21" s="17" t="s">
        <v>299</v>
      </c>
      <c r="B21" s="18" t="s">
        <v>300</v>
      </c>
      <c r="C21" s="19" t="s">
        <v>301</v>
      </c>
      <c r="D21" s="20" t="s">
        <v>57</v>
      </c>
      <c r="E21" s="19" t="s">
        <v>19</v>
      </c>
      <c r="F21" s="20" t="s">
        <v>128</v>
      </c>
      <c r="G21" s="19" t="s">
        <v>302</v>
      </c>
      <c r="H21" s="20"/>
      <c r="I21" s="21" t="str">
        <f t="shared" si="0"/>
        <v>فاقد پیاده‌رو</v>
      </c>
      <c r="J21" s="22" t="str">
        <f t="shared" si="1"/>
        <v>تکمیل شده/در حال تکمیل</v>
      </c>
      <c r="P21" s="1" t="s">
        <v>303</v>
      </c>
    </row>
    <row r="22" spans="1:26" ht="36" customHeight="1">
      <c r="A22" s="23" t="s">
        <v>304</v>
      </c>
      <c r="B22" s="24" t="s">
        <v>305</v>
      </c>
      <c r="C22" s="25" t="s">
        <v>306</v>
      </c>
      <c r="D22" s="20"/>
      <c r="E22" s="25" t="s">
        <v>307</v>
      </c>
      <c r="F22" s="20" t="s">
        <v>49</v>
      </c>
      <c r="G22" s="25" t="s">
        <v>308</v>
      </c>
      <c r="H22" s="20"/>
      <c r="I22" s="21" t="str">
        <f t="shared" si="0"/>
        <v>دال بتن‌آرمه درجا</v>
      </c>
      <c r="J22" s="26" t="str">
        <f t="shared" si="1"/>
        <v>تکمیل شده/در حال تکمیل</v>
      </c>
      <c r="P22" s="1" t="s">
        <v>309</v>
      </c>
    </row>
    <row r="23" spans="1:26" ht="36" customHeight="1">
      <c r="A23" s="17" t="s">
        <v>310</v>
      </c>
      <c r="B23" s="18" t="s">
        <v>311</v>
      </c>
      <c r="C23" s="19" t="s">
        <v>312</v>
      </c>
      <c r="D23" s="20" t="s">
        <v>30</v>
      </c>
      <c r="E23" s="19" t="s">
        <v>313</v>
      </c>
      <c r="F23" s="20" t="s">
        <v>150</v>
      </c>
      <c r="G23" s="19" t="s">
        <v>314</v>
      </c>
      <c r="H23" s="20"/>
      <c r="I23" s="21" t="str">
        <f t="shared" si="0"/>
        <v>کابل برق</v>
      </c>
      <c r="J23" s="22" t="str">
        <f t="shared" si="1"/>
        <v>تکمیل شده/در حال تکمیل</v>
      </c>
      <c r="P23" s="1" t="s">
        <v>315</v>
      </c>
    </row>
    <row r="24" spans="1:26" ht="36" customHeight="1">
      <c r="A24" s="23" t="s">
        <v>316</v>
      </c>
      <c r="B24" s="24" t="s">
        <v>317</v>
      </c>
      <c r="C24" s="25" t="s">
        <v>318</v>
      </c>
      <c r="D24" s="20" t="s">
        <v>57</v>
      </c>
      <c r="E24" s="25" t="s">
        <v>319</v>
      </c>
      <c r="F24" s="20" t="s">
        <v>132</v>
      </c>
      <c r="G24" s="25" t="s">
        <v>320</v>
      </c>
      <c r="H24" s="20"/>
      <c r="I24" s="21" t="str">
        <f t="shared" si="0"/>
        <v>فاقد کابل اصلی</v>
      </c>
      <c r="J24" s="26" t="str">
        <f t="shared" si="1"/>
        <v>تکمیل شده/در حال تکمیل</v>
      </c>
      <c r="P24" s="1" t="s">
        <v>321</v>
      </c>
    </row>
    <row r="25" spans="1:26" ht="36" customHeight="1">
      <c r="A25" s="17" t="s">
        <v>322</v>
      </c>
      <c r="B25" s="18" t="s">
        <v>323</v>
      </c>
      <c r="C25" s="19" t="s">
        <v>324</v>
      </c>
      <c r="D25" s="20" t="s">
        <v>57</v>
      </c>
      <c r="E25" s="19" t="s">
        <v>325</v>
      </c>
      <c r="F25" s="20" t="s">
        <v>234</v>
      </c>
      <c r="G25" s="19" t="s">
        <v>326</v>
      </c>
      <c r="H25" s="20"/>
      <c r="I25" s="21" t="str">
        <f t="shared" si="0"/>
        <v>پل خارج از آبراهه</v>
      </c>
      <c r="J25" s="22" t="str">
        <f t="shared" si="1"/>
        <v>تکمیل شده/در حال تکمیل</v>
      </c>
      <c r="P25" s="1" t="s">
        <v>327</v>
      </c>
    </row>
    <row r="26" spans="1:26" ht="36" customHeight="1">
      <c r="A26" s="23" t="s">
        <v>328</v>
      </c>
      <c r="B26" s="24" t="s">
        <v>329</v>
      </c>
      <c r="C26" s="25" t="s">
        <v>330</v>
      </c>
      <c r="D26" s="20" t="s">
        <v>79</v>
      </c>
      <c r="E26" s="25" t="s">
        <v>331</v>
      </c>
      <c r="F26" s="20"/>
      <c r="G26" s="25" t="s">
        <v>332</v>
      </c>
      <c r="H26" s="20"/>
      <c r="I26" s="21" t="str">
        <f t="shared" si="0"/>
        <v/>
      </c>
      <c r="J26" s="26" t="str">
        <f t="shared" si="1"/>
        <v>تکمیل شده/در حال تکمیل</v>
      </c>
      <c r="P26" s="1" t="s">
        <v>333</v>
      </c>
    </row>
    <row r="27" spans="1:26" ht="36" customHeight="1">
      <c r="A27" s="27" t="s">
        <v>334</v>
      </c>
      <c r="B27" s="28" t="s">
        <v>335</v>
      </c>
      <c r="C27" s="29" t="s">
        <v>336</v>
      </c>
      <c r="D27" s="30"/>
      <c r="E27" s="29" t="s">
        <v>337</v>
      </c>
      <c r="F27" s="30" t="s">
        <v>176</v>
      </c>
      <c r="G27" s="29" t="s">
        <v>338</v>
      </c>
      <c r="H27" s="30"/>
      <c r="I27" s="31" t="str">
        <f t="shared" si="0"/>
        <v>سیستم لرزه‌جدایش - دستگاه الاستومر</v>
      </c>
      <c r="J27" s="32" t="str">
        <f t="shared" si="1"/>
        <v>تکمیل شده/در حال تکمیل</v>
      </c>
      <c r="P27" s="1" t="s">
        <v>339</v>
      </c>
    </row>
    <row r="28" spans="1:26">
      <c r="P28" s="1" t="s">
        <v>340</v>
      </c>
    </row>
    <row r="29" spans="1:26">
      <c r="P29" s="1" t="s">
        <v>341</v>
      </c>
    </row>
    <row r="30" spans="1:26">
      <c r="P30" s="1" t="s">
        <v>342</v>
      </c>
    </row>
    <row r="31" spans="1:26">
      <c r="P31" s="1" t="s">
        <v>149</v>
      </c>
    </row>
  </sheetData>
  <mergeCells count="5">
    <mergeCell ref="A1:J1"/>
    <mergeCell ref="A2:J2"/>
    <mergeCell ref="B4:C4"/>
    <mergeCell ref="E4:F4"/>
    <mergeCell ref="H4:J4"/>
  </mergeCells>
  <conditionalFormatting sqref="J8:J27">
    <cfRule type="expression" dxfId="1" priority="1">
      <formula>J8="تکمیل شده/در حال تکمیل"</formula>
    </cfRule>
    <cfRule type="expression" dxfId="0" priority="2">
      <formula>J8="نیاز به تکمیل"</formula>
    </cfRule>
  </conditionalFormatting>
  <dataValidations count="28">
    <dataValidation type="list" allowBlank="1" showInputMessage="1" showErrorMessage="1" sqref="F27" xr:uid="{6FE99607-76DB-428D-ACD1-CCF30DD2AEBC}">
      <formula1>$AK$2:$AK$10</formula1>
    </dataValidation>
    <dataValidation type="list" allowBlank="1" showInputMessage="1" showErrorMessage="1" sqref="D26" xr:uid="{A1D8A882-B5C5-40FF-BDE1-9AA049352ABC}">
      <formula1>$AL$2:$AL$4</formula1>
    </dataValidation>
    <dataValidation type="list" allowBlank="1" showInputMessage="1" showErrorMessage="1" sqref="F25" xr:uid="{9E0560C9-E400-4060-82B3-CB7BB3C70F13}">
      <formula1>$AJ$2:$AJ$11</formula1>
    </dataValidation>
    <dataValidation type="list" allowBlank="1" showInputMessage="1" showErrorMessage="1" sqref="H24" xr:uid="{5D00BAD7-0252-4A05-A02C-A5AA8C62585C}">
      <formula1>$AH$2:$AH$8</formula1>
    </dataValidation>
    <dataValidation type="list" allowBlank="1" showInputMessage="1" showErrorMessage="1" sqref="F24" xr:uid="{9DFAA506-DE0A-4F53-A148-526359EBFA18}">
      <formula1>$AI$2:$AI$5</formula1>
    </dataValidation>
    <dataValidation type="list" allowBlank="1" showInputMessage="1" showErrorMessage="1" sqref="F23" xr:uid="{B82E5B83-E9D7-40D3-BB10-C7ADAA769E85}">
      <formula1>$AG$2:$AG$9</formula1>
    </dataValidation>
    <dataValidation type="list" allowBlank="1" showInputMessage="1" showErrorMessage="1" sqref="F22" xr:uid="{5D9E84B3-0097-4351-9288-B909F590AF0E}">
      <formula1>$AF$2:$AF$6</formula1>
    </dataValidation>
    <dataValidation type="list" allowBlank="1" showInputMessage="1" showErrorMessage="1" sqref="H21" xr:uid="{168D219F-DB01-4A1F-A365-3B4354E2330D}">
      <formula1>$AE$2:$AE$10</formula1>
    </dataValidation>
    <dataValidation type="list" allowBlank="1" showInputMessage="1" showErrorMessage="1" sqref="F21" xr:uid="{762172FD-D516-4C4F-B91B-C84C72A8BF0B}">
      <formula1>$AD$2:$AD$5</formula1>
    </dataValidation>
    <dataValidation type="list" allowBlank="1" showInputMessage="1" showErrorMessage="1" sqref="H20" xr:uid="{03AD0D28-445C-4989-99E6-B8E215FF4146}">
      <formula1>$AC$2:$AC$8</formula1>
    </dataValidation>
    <dataValidation type="list" allowBlank="1" showInputMessage="1" showErrorMessage="1" sqref="H19" xr:uid="{56105072-FA67-4E05-9E35-3B50542B30CE}">
      <formula1>$AM$2:$AM$4</formula1>
    </dataValidation>
    <dataValidation type="list" allowBlank="1" showInputMessage="1" showErrorMessage="1" sqref="H18" xr:uid="{653D136F-3328-46CD-98C4-62ADE791286B}">
      <formula1>$AB$2:$AB$6</formula1>
    </dataValidation>
    <dataValidation type="list" allowBlank="1" showInputMessage="1" showErrorMessage="1" sqref="F18" xr:uid="{FE906771-C15A-4ACE-98D6-BBD221A5CAA5}">
      <formula1>$AA$2:$AA$9</formula1>
    </dataValidation>
    <dataValidation type="list" allowBlank="1" showInputMessage="1" showErrorMessage="1" sqref="F17" xr:uid="{D0E22652-A5D5-40DE-8D0F-226AFB275939}">
      <formula1>$Z$2:$Z$18</formula1>
    </dataValidation>
    <dataValidation type="list" allowBlank="1" showInputMessage="1" showErrorMessage="1" sqref="H16" xr:uid="{F8469D27-9090-41F0-961D-FB81F2ED13F4}">
      <formula1>$Y$2:$Y$13</formula1>
    </dataValidation>
    <dataValidation type="list" allowBlank="1" showInputMessage="1" showErrorMessage="1" sqref="F16" xr:uid="{ACE8B4CD-E1B8-4C41-953F-84291C8D9E0B}">
      <formula1>$X$2:$X$7</formula1>
    </dataValidation>
    <dataValidation type="list" allowBlank="1" showInputMessage="1" showErrorMessage="1" sqref="H15" xr:uid="{86E704C7-F0BB-422E-AB57-2533F943473C}">
      <formula1>$W$2:$W$16</formula1>
    </dataValidation>
    <dataValidation type="list" allowBlank="1" showInputMessage="1" showErrorMessage="1" sqref="F15" xr:uid="{8012F2C3-F9BC-4218-9606-22329069AEBF}">
      <formula1>$V$2:$V$11</formula1>
    </dataValidation>
    <dataValidation type="list" allowBlank="1" showInputMessage="1" showErrorMessage="1" sqref="H14" xr:uid="{C384B3B2-0E48-4289-9E60-590BF5456D26}">
      <formula1>$T$2:$T$6</formula1>
    </dataValidation>
    <dataValidation type="list" allowBlank="1" showInputMessage="1" showErrorMessage="1" sqref="F14" xr:uid="{89F3CE38-D7C6-4B88-8DF8-373251C4AC87}">
      <formula1>$U$2:$U$9</formula1>
    </dataValidation>
    <dataValidation type="list" allowBlank="1" showInputMessage="1" showErrorMessage="1" sqref="H13" xr:uid="{642D85FB-F925-4518-9078-59716095EF90}">
      <formula1>$R$2:$R$10</formula1>
    </dataValidation>
    <dataValidation type="list" allowBlank="1" showInputMessage="1" showErrorMessage="1" sqref="F13" xr:uid="{7DF52D0F-935C-4DDC-BFF9-094EC8120238}">
      <formula1>$S$2:$S$18</formula1>
    </dataValidation>
    <dataValidation type="list" allowBlank="1" showInputMessage="1" showErrorMessage="1" sqref="F12" xr:uid="{F1CFEBDE-1C6B-40AE-97E6-D8083D393A5D}">
      <formula1>$Q$2:$Q$12</formula1>
    </dataValidation>
    <dataValidation type="list" allowBlank="1" showInputMessage="1" showErrorMessage="1" sqref="H11" xr:uid="{C1A39783-DB2E-42EE-B19D-9E6D5EFFFCEA}">
      <formula1>$O$2:$O$13</formula1>
    </dataValidation>
    <dataValidation type="list" allowBlank="1" showInputMessage="1" showErrorMessage="1" sqref="F11" xr:uid="{A477A053-AE61-4A4E-AE81-2BA929A4E87F}">
      <formula1>$P$2:$P$31</formula1>
    </dataValidation>
    <dataValidation type="list" allowBlank="1" showInputMessage="1" showErrorMessage="1" sqref="F10" xr:uid="{38E132F4-4AEA-4A78-A473-1224F57BCAE3}">
      <formula1>$N$2:$N$12</formula1>
    </dataValidation>
    <dataValidation type="list" allowBlank="1" showInputMessage="1" showErrorMessage="1" sqref="D10:D25 D27" xr:uid="{A6DC21D6-1623-4C02-AD1C-D61B7A71B08D}">
      <formula1>$L$2:$L$4</formula1>
    </dataValidation>
    <dataValidation type="list" allowBlank="1" showInputMessage="1" showErrorMessage="1" sqref="H8" xr:uid="{CED3B58B-0959-4065-86A9-300A92405965}">
      <formula1>$M$2:$M$5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8A59-0474-47D7-AA69-7A9B910E662D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01_خلاصه_پروفایل_منویی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Daniyal Salimi</dc:creator>
  <cp:lastModifiedBy>Daniyal Salimi</cp:lastModifiedBy>
  <dcterms:created xsi:type="dcterms:W3CDTF">2026-08-22T11:11:03Z</dcterms:created>
  <dcterms:modified xsi:type="dcterms:W3CDTF">2026-08-22T12:53:30Z</dcterms:modified>
</cp:coreProperties>
</file>